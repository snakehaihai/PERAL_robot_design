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ason\NTU\EE4080 FYP\Haloball_v2\"/>
    </mc:Choice>
  </mc:AlternateContent>
  <xr:revisionPtr revIDLastSave="0" documentId="13_ncr:1_{4FCCA6D6-9BF0-4D70-9DF2-F69D0AAEFC78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Kinematics" sheetId="7" r:id="rId1"/>
    <sheet name="Motor Torque Calculation" sheetId="2" r:id="rId2"/>
    <sheet name="Motor Wiring" sheetId="3" r:id="rId3"/>
    <sheet name="Hardware List" sheetId="4" r:id="rId4"/>
    <sheet name="Calc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10" i="4" s="1"/>
  <c r="B10" i="7"/>
  <c r="B11" i="7"/>
  <c r="B18" i="7"/>
  <c r="B19" i="7"/>
  <c r="B9" i="7"/>
  <c r="B4" i="7"/>
  <c r="B8" i="6"/>
  <c r="B7" i="6"/>
  <c r="D4" i="4"/>
  <c r="D3" i="4"/>
  <c r="D2" i="4"/>
  <c r="B8" i="2"/>
  <c r="B9" i="2" s="1"/>
</calcChain>
</file>

<file path=xl/sharedStrings.xml><?xml version="1.0" encoding="utf-8"?>
<sst xmlns="http://schemas.openxmlformats.org/spreadsheetml/2006/main" count="144" uniqueCount="101">
  <si>
    <t>yaw constant (c)</t>
  </si>
  <si>
    <t>Value</t>
  </si>
  <si>
    <r>
      <t>[kgm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</si>
  <si>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[m]</t>
  </si>
  <si>
    <t>[rad/s]</t>
  </si>
  <si>
    <r>
      <t>mass of sphere (m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</si>
  <si>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t>[kg]</t>
  </si>
  <si>
    <r>
      <t>2/3 m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</si>
  <si>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wheel separation (w)</t>
  </si>
  <si>
    <t>Only key in highlighted cells</t>
  </si>
  <si>
    <t>√(r² - (0.5w)²)</t>
  </si>
  <si>
    <t>Formula</t>
  </si>
  <si>
    <r>
      <t>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((ρ/wc) - 1)</t>
    </r>
  </si>
  <si>
    <r>
      <t>ρI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/w(I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+J)</t>
    </r>
  </si>
  <si>
    <t>can assume 0 if lazy to find</t>
  </si>
  <si>
    <t>Remarks</t>
  </si>
  <si>
    <t>distance between center of sphere to center of wheel separation (h)</t>
  </si>
  <si>
    <t>robot linear speed (v)</t>
  </si>
  <si>
    <t>robot angular speed (ψ)</t>
  </si>
  <si>
    <t>wheel -&gt; robot speed calculator</t>
  </si>
  <si>
    <t>[m/s]</t>
  </si>
  <si>
    <t>wheel radius (ρ)</t>
  </si>
  <si>
    <t>sphere radius (r)</t>
  </si>
  <si>
    <t>robot inertia (J)</t>
  </si>
  <si>
    <r>
      <t>sphere inertia (I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</si>
  <si>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r>
      <t>right wheel angular velocity</t>
    </r>
    <r>
      <rPr>
        <sz val="11"/>
        <color theme="1"/>
        <rFont val="Calibri"/>
        <family val="2"/>
      </rPr>
      <t xml:space="preserve"> (ⱷ</t>
    </r>
    <r>
      <rPr>
        <vertAlign val="subscript"/>
        <sz val="11"/>
        <color theme="1"/>
        <rFont val="Calibri"/>
        <family val="2"/>
      </rPr>
      <t xml:space="preserve">R </t>
    </r>
    <r>
      <rPr>
        <sz val="11"/>
        <color theme="1"/>
        <rFont val="Calibri"/>
        <family val="2"/>
      </rPr>
      <t>_dot)</t>
    </r>
  </si>
  <si>
    <r>
      <t>left wheel angular velocity  (ⱷ</t>
    </r>
    <r>
      <rPr>
        <vertAlign val="subscript"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>_dot)</t>
    </r>
  </si>
  <si>
    <t>Gravity</t>
  </si>
  <si>
    <t>Desired Robot Acceleration</t>
  </si>
  <si>
    <t>Wheel Radius</t>
  </si>
  <si>
    <t>No. of wheels</t>
  </si>
  <si>
    <t>Torque Required</t>
  </si>
  <si>
    <t>Units</t>
  </si>
  <si>
    <r>
      <t>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</si>
  <si>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[Nm]</t>
  </si>
  <si>
    <t>Robot Total Mass</t>
  </si>
  <si>
    <t>TB6612FNG</t>
  </si>
  <si>
    <t>12V</t>
  </si>
  <si>
    <t>VM</t>
  </si>
  <si>
    <t>PWMA</t>
  </si>
  <si>
    <t>GPIO5</t>
  </si>
  <si>
    <t>5V</t>
  </si>
  <si>
    <t>VCC</t>
  </si>
  <si>
    <t>AI2</t>
  </si>
  <si>
    <t>GPIO6</t>
  </si>
  <si>
    <t>GND</t>
  </si>
  <si>
    <t>AI1</t>
  </si>
  <si>
    <t>GPIO7</t>
  </si>
  <si>
    <t>3V3</t>
  </si>
  <si>
    <t>L_M1</t>
  </si>
  <si>
    <t>AO1</t>
  </si>
  <si>
    <t>STBY</t>
  </si>
  <si>
    <t>GPIO4</t>
  </si>
  <si>
    <t>GPIO8</t>
  </si>
  <si>
    <t>L_M2</t>
  </si>
  <si>
    <t>AO2</t>
  </si>
  <si>
    <t>BI1</t>
  </si>
  <si>
    <t>GPIO9</t>
  </si>
  <si>
    <t>GPIO3</t>
  </si>
  <si>
    <t>L_C1</t>
  </si>
  <si>
    <t>R_M2</t>
  </si>
  <si>
    <t>BO2</t>
  </si>
  <si>
    <t>BI2</t>
  </si>
  <si>
    <t>GPIO10</t>
  </si>
  <si>
    <t>GPIO2</t>
  </si>
  <si>
    <t>L_C2</t>
  </si>
  <si>
    <t>R_M1</t>
  </si>
  <si>
    <t>BO1</t>
  </si>
  <si>
    <t>PWMB</t>
  </si>
  <si>
    <t>GPIO20</t>
  </si>
  <si>
    <t>GPIO1</t>
  </si>
  <si>
    <t>R_C1</t>
  </si>
  <si>
    <t>GPIO21</t>
  </si>
  <si>
    <t>GPIO0</t>
  </si>
  <si>
    <t>R_C2</t>
  </si>
  <si>
    <t>ESP32C3</t>
  </si>
  <si>
    <t>Quantity</t>
  </si>
  <si>
    <t>Weight/Piece (g)</t>
  </si>
  <si>
    <t>Total Weight (g)</t>
  </si>
  <si>
    <t>Battery</t>
  </si>
  <si>
    <t>MID360 LiDAR</t>
  </si>
  <si>
    <t>Sphere</t>
  </si>
  <si>
    <t>RK board</t>
  </si>
  <si>
    <t>Wheel</t>
  </si>
  <si>
    <t>Dimensions</t>
  </si>
  <si>
    <t>Length [mm]</t>
  </si>
  <si>
    <t>Width [mm]</t>
  </si>
  <si>
    <t>Height [mm]</t>
  </si>
  <si>
    <t>Radius [mm]</t>
  </si>
  <si>
    <t>About 160mm diameter</t>
  </si>
  <si>
    <t>Components</t>
  </si>
  <si>
    <t>N20 Motor (12V/300RPM)</t>
  </si>
  <si>
    <t>[Kgcm]</t>
  </si>
  <si>
    <t>linear velocity</t>
  </si>
  <si>
    <t>angular velocity</t>
  </si>
  <si>
    <t>right wheel angular velocity</t>
  </si>
  <si>
    <t xml:space="preserve">left wheel angular velocity </t>
  </si>
  <si>
    <t>wheel separation</t>
  </si>
  <si>
    <t>wheel radius</t>
  </si>
  <si>
    <t>r/h</t>
  </si>
  <si>
    <t>Lead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</si>
</sst>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5" fillId="0" borderId="0" xfId="0" applyFont="1"/>
    <xf numFmtId="164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183F-0231-4B72-9DFC-DE7907B671BF}">
  <dimension ref="A1:F19"/>
  <sheetViews>
    <sheetView workbookViewId="0">
      <selection activeCell="C15" sqref="C15"/>
    </sheetView>
  </sheetViews>
  <sheetFormatPr defaultRowHeight="14.5" x14ac:dyDescent="0.35"/>
  <cols>
    <col min="1" max="1" width="31.26953125" bestFit="1" customWidth="1"/>
    <col min="5" max="5" width="11.90625" bestFit="1" customWidth="1"/>
    <col min="6" max="6" width="23.36328125" bestFit="1" customWidth="1"/>
  </cols>
  <sheetData>
    <row r="1" spans="1:6" x14ac:dyDescent="0.35">
      <c r="A1" s="3" t="s">
        <v>9</v>
      </c>
    </row>
    <row r="2" spans="1:6" x14ac:dyDescent="0.35">
      <c r="B2" s="6" t="s">
        <v>1</v>
      </c>
      <c r="C2" s="6" t="s">
        <v>32</v>
      </c>
      <c r="D2" s="6"/>
      <c r="E2" s="6" t="s">
        <v>11</v>
      </c>
      <c r="F2" s="6" t="s">
        <v>15</v>
      </c>
    </row>
    <row r="3" spans="1:6" ht="16.5" x14ac:dyDescent="0.45">
      <c r="A3" t="s">
        <v>5</v>
      </c>
      <c r="B3" s="2">
        <v>0.157</v>
      </c>
      <c r="C3" t="s">
        <v>6</v>
      </c>
    </row>
    <row r="4" spans="1:6" ht="17.5" x14ac:dyDescent="0.45">
      <c r="A4" t="s">
        <v>24</v>
      </c>
      <c r="B4">
        <f>2/3*B3*POWER(B6,2)</f>
        <v>6.2056866666666669E-4</v>
      </c>
      <c r="C4" t="s">
        <v>2</v>
      </c>
      <c r="E4" t="s">
        <v>7</v>
      </c>
    </row>
    <row r="5" spans="1:6" ht="17.5" x14ac:dyDescent="0.45">
      <c r="A5" t="s">
        <v>23</v>
      </c>
      <c r="B5" s="2"/>
      <c r="C5" t="s">
        <v>2</v>
      </c>
      <c r="E5" t="s">
        <v>12</v>
      </c>
      <c r="F5" t="s">
        <v>14</v>
      </c>
    </row>
    <row r="6" spans="1:6" x14ac:dyDescent="0.35">
      <c r="A6" t="s">
        <v>22</v>
      </c>
      <c r="B6" s="2">
        <v>7.6999999999999999E-2</v>
      </c>
      <c r="C6" t="s">
        <v>3</v>
      </c>
    </row>
    <row r="7" spans="1:6" x14ac:dyDescent="0.35">
      <c r="A7" t="s">
        <v>21</v>
      </c>
      <c r="B7" s="2">
        <v>1.7000000000000001E-2</v>
      </c>
      <c r="C7" t="s">
        <v>3</v>
      </c>
    </row>
    <row r="8" spans="1:6" x14ac:dyDescent="0.35">
      <c r="A8" t="s">
        <v>8</v>
      </c>
      <c r="B8" s="2">
        <v>0.125</v>
      </c>
      <c r="C8" t="s">
        <v>3</v>
      </c>
    </row>
    <row r="9" spans="1:6" ht="29" x14ac:dyDescent="0.35">
      <c r="A9" s="1" t="s">
        <v>16</v>
      </c>
      <c r="B9">
        <f>SQRT(POWER(B6,2)-POWER(0.5*B8,2))</f>
        <v>4.4974993051694855E-2</v>
      </c>
      <c r="C9" t="s">
        <v>3</v>
      </c>
      <c r="E9" t="s">
        <v>10</v>
      </c>
    </row>
    <row r="10" spans="1:6" ht="16.5" x14ac:dyDescent="0.45">
      <c r="A10" t="s">
        <v>0</v>
      </c>
      <c r="B10">
        <f>B4/(B4+B5)</f>
        <v>1</v>
      </c>
      <c r="E10" t="s">
        <v>13</v>
      </c>
    </row>
    <row r="11" spans="1:6" x14ac:dyDescent="0.35">
      <c r="A11" t="s">
        <v>99</v>
      </c>
      <c r="B11">
        <f>B6/B9</f>
        <v>1.7120625213103462</v>
      </c>
    </row>
    <row r="15" spans="1:6" x14ac:dyDescent="0.35">
      <c r="A15" s="3" t="s">
        <v>19</v>
      </c>
    </row>
    <row r="16" spans="1:6" ht="16.5" x14ac:dyDescent="0.45">
      <c r="A16" t="s">
        <v>25</v>
      </c>
      <c r="B16">
        <v>15</v>
      </c>
      <c r="C16" t="s">
        <v>4</v>
      </c>
    </row>
    <row r="17" spans="1:3" ht="16.5" x14ac:dyDescent="0.45">
      <c r="A17" t="s">
        <v>26</v>
      </c>
      <c r="B17">
        <v>15</v>
      </c>
      <c r="C17" t="s">
        <v>4</v>
      </c>
    </row>
    <row r="18" spans="1:3" x14ac:dyDescent="0.35">
      <c r="A18" t="s">
        <v>17</v>
      </c>
      <c r="B18">
        <f>(B16+B17)*0.5*B7</f>
        <v>0.255</v>
      </c>
      <c r="C18" t="s">
        <v>20</v>
      </c>
    </row>
    <row r="19" spans="1:3" x14ac:dyDescent="0.35">
      <c r="A19" t="s">
        <v>18</v>
      </c>
      <c r="B19">
        <f>B10*(B16-B17)</f>
        <v>0</v>
      </c>
      <c r="C19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2091-660E-4076-816C-67182033CEDE}">
  <dimension ref="A1:C9"/>
  <sheetViews>
    <sheetView tabSelected="1" workbookViewId="0">
      <selection activeCell="B4" sqref="B4"/>
    </sheetView>
  </sheetViews>
  <sheetFormatPr defaultRowHeight="14.5" x14ac:dyDescent="0.35"/>
  <cols>
    <col min="1" max="1" width="24" bestFit="1" customWidth="1"/>
    <col min="2" max="2" width="7.36328125" bestFit="1" customWidth="1"/>
    <col min="3" max="3" width="6.453125" bestFit="1" customWidth="1"/>
  </cols>
  <sheetData>
    <row r="1" spans="1:3" x14ac:dyDescent="0.35">
      <c r="A1" s="3" t="s">
        <v>9</v>
      </c>
      <c r="B1" s="6" t="s">
        <v>1</v>
      </c>
      <c r="C1" s="6" t="s">
        <v>32</v>
      </c>
    </row>
    <row r="2" spans="1:3" ht="16.5" x14ac:dyDescent="0.35">
      <c r="A2" t="s">
        <v>27</v>
      </c>
      <c r="B2" s="2">
        <v>9.81</v>
      </c>
      <c r="C2" t="s">
        <v>33</v>
      </c>
    </row>
    <row r="3" spans="1:3" x14ac:dyDescent="0.35">
      <c r="A3" t="s">
        <v>35</v>
      </c>
      <c r="B3" s="2">
        <v>1</v>
      </c>
      <c r="C3" t="s">
        <v>6</v>
      </c>
    </row>
    <row r="4" spans="1:3" ht="16.5" x14ac:dyDescent="0.35">
      <c r="A4" t="s">
        <v>28</v>
      </c>
      <c r="B4" s="2">
        <v>0.1</v>
      </c>
      <c r="C4" t="s">
        <v>33</v>
      </c>
    </row>
    <row r="5" spans="1:3" x14ac:dyDescent="0.35">
      <c r="A5" t="s">
        <v>29</v>
      </c>
      <c r="B5" s="2">
        <v>1.7000000000000001E-2</v>
      </c>
      <c r="C5" t="s">
        <v>3</v>
      </c>
    </row>
    <row r="6" spans="1:3" x14ac:dyDescent="0.35">
      <c r="A6" t="s">
        <v>30</v>
      </c>
      <c r="B6" s="2">
        <v>2</v>
      </c>
    </row>
    <row r="8" spans="1:3" x14ac:dyDescent="0.35">
      <c r="A8" t="s">
        <v>31</v>
      </c>
      <c r="B8" s="4">
        <f>(B3*(B2+B4)*B5)/B6</f>
        <v>8.4235000000000004E-2</v>
      </c>
      <c r="C8" t="s">
        <v>34</v>
      </c>
    </row>
    <row r="9" spans="1:3" x14ac:dyDescent="0.35">
      <c r="B9">
        <f>B8*(100/9.8)</f>
        <v>0.85954081632653068</v>
      </c>
      <c r="C9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883A-566B-4038-A09F-1D0F23A573EB}">
  <dimension ref="A1:I9"/>
  <sheetViews>
    <sheetView workbookViewId="0">
      <selection activeCell="K4" sqref="K4"/>
    </sheetView>
  </sheetViews>
  <sheetFormatPr defaultRowHeight="14.5" x14ac:dyDescent="0.35"/>
  <sheetData>
    <row r="1" spans="1:9" x14ac:dyDescent="0.35">
      <c r="B1" s="7" t="s">
        <v>36</v>
      </c>
      <c r="C1" s="7"/>
      <c r="G1" s="7" t="s">
        <v>75</v>
      </c>
      <c r="H1" s="7"/>
    </row>
    <row r="2" spans="1:9" x14ac:dyDescent="0.35">
      <c r="A2" t="s">
        <v>37</v>
      </c>
      <c r="B2" s="5" t="s">
        <v>38</v>
      </c>
      <c r="C2" s="5" t="s">
        <v>39</v>
      </c>
      <c r="D2" t="s">
        <v>40</v>
      </c>
      <c r="F2" t="s">
        <v>39</v>
      </c>
      <c r="G2" s="5" t="s">
        <v>40</v>
      </c>
      <c r="H2" s="5" t="s">
        <v>41</v>
      </c>
    </row>
    <row r="3" spans="1:9" x14ac:dyDescent="0.35">
      <c r="A3" t="s">
        <v>41</v>
      </c>
      <c r="B3" s="5" t="s">
        <v>42</v>
      </c>
      <c r="C3" s="5" t="s">
        <v>43</v>
      </c>
      <c r="D3" t="s">
        <v>44</v>
      </c>
      <c r="F3" t="s">
        <v>43</v>
      </c>
      <c r="G3" s="5" t="s">
        <v>44</v>
      </c>
      <c r="H3" s="5" t="s">
        <v>45</v>
      </c>
    </row>
    <row r="4" spans="1:9" x14ac:dyDescent="0.35">
      <c r="B4" s="5" t="s">
        <v>45</v>
      </c>
      <c r="C4" s="5" t="s">
        <v>46</v>
      </c>
      <c r="D4" t="s">
        <v>47</v>
      </c>
      <c r="F4" t="s">
        <v>46</v>
      </c>
      <c r="G4" s="5" t="s">
        <v>47</v>
      </c>
      <c r="H4" s="5" t="s">
        <v>48</v>
      </c>
    </row>
    <row r="5" spans="1:9" x14ac:dyDescent="0.35">
      <c r="A5" t="s">
        <v>49</v>
      </c>
      <c r="B5" s="5" t="s">
        <v>50</v>
      </c>
      <c r="C5" s="5" t="s">
        <v>51</v>
      </c>
      <c r="D5" t="s">
        <v>52</v>
      </c>
      <c r="G5" s="5" t="s">
        <v>53</v>
      </c>
      <c r="H5" s="5" t="s">
        <v>52</v>
      </c>
      <c r="I5" t="s">
        <v>51</v>
      </c>
    </row>
    <row r="6" spans="1:9" x14ac:dyDescent="0.35">
      <c r="A6" t="s">
        <v>54</v>
      </c>
      <c r="B6" s="5" t="s">
        <v>55</v>
      </c>
      <c r="C6" s="5" t="s">
        <v>56</v>
      </c>
      <c r="D6" t="s">
        <v>57</v>
      </c>
      <c r="F6" t="s">
        <v>56</v>
      </c>
      <c r="G6" s="5" t="s">
        <v>57</v>
      </c>
      <c r="H6" s="5" t="s">
        <v>58</v>
      </c>
      <c r="I6" t="s">
        <v>59</v>
      </c>
    </row>
    <row r="7" spans="1:9" x14ac:dyDescent="0.35">
      <c r="A7" t="s">
        <v>60</v>
      </c>
      <c r="B7" s="5" t="s">
        <v>61</v>
      </c>
      <c r="C7" s="5" t="s">
        <v>62</v>
      </c>
      <c r="D7" t="s">
        <v>63</v>
      </c>
      <c r="F7" t="s">
        <v>62</v>
      </c>
      <c r="G7" s="5" t="s">
        <v>63</v>
      </c>
      <c r="H7" s="5" t="s">
        <v>64</v>
      </c>
      <c r="I7" t="s">
        <v>65</v>
      </c>
    </row>
    <row r="8" spans="1:9" x14ac:dyDescent="0.35">
      <c r="A8" t="s">
        <v>66</v>
      </c>
      <c r="B8" s="5" t="s">
        <v>67</v>
      </c>
      <c r="C8" s="5" t="s">
        <v>68</v>
      </c>
      <c r="D8" t="s">
        <v>69</v>
      </c>
      <c r="F8" t="s">
        <v>68</v>
      </c>
      <c r="G8" s="5" t="s">
        <v>69</v>
      </c>
      <c r="H8" s="5" t="s">
        <v>70</v>
      </c>
      <c r="I8" t="s">
        <v>71</v>
      </c>
    </row>
    <row r="9" spans="1:9" x14ac:dyDescent="0.35">
      <c r="B9" s="5" t="s">
        <v>45</v>
      </c>
      <c r="C9" s="5" t="s">
        <v>45</v>
      </c>
      <c r="G9" s="5" t="s">
        <v>72</v>
      </c>
      <c r="H9" s="5" t="s">
        <v>73</v>
      </c>
      <c r="I9" t="s">
        <v>74</v>
      </c>
    </row>
  </sheetData>
  <mergeCells count="2">
    <mergeCell ref="B1:C1"/>
    <mergeCell ref="G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53C6-4D63-4E9F-A0F1-92AED8270015}">
  <dimension ref="A1:K10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  <col min="2" max="2" width="8" bestFit="1" customWidth="1"/>
    <col min="3" max="3" width="14.54296875" bestFit="1" customWidth="1"/>
    <col min="4" max="4" width="14.08984375" bestFit="1" customWidth="1"/>
    <col min="6" max="6" width="12.6328125" bestFit="1" customWidth="1"/>
    <col min="7" max="7" width="11.36328125" bestFit="1" customWidth="1"/>
    <col min="8" max="8" width="10.90625" bestFit="1" customWidth="1"/>
    <col min="9" max="9" width="11.1796875" bestFit="1" customWidth="1"/>
    <col min="10" max="10" width="11.36328125" bestFit="1" customWidth="1"/>
    <col min="11" max="11" width="20.81640625" bestFit="1" customWidth="1"/>
  </cols>
  <sheetData>
    <row r="1" spans="1:11" x14ac:dyDescent="0.35">
      <c r="A1" s="6" t="s">
        <v>90</v>
      </c>
      <c r="B1" s="6" t="s">
        <v>76</v>
      </c>
      <c r="C1" s="6" t="s">
        <v>77</v>
      </c>
      <c r="D1" s="6" t="s">
        <v>78</v>
      </c>
      <c r="E1" s="6"/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15</v>
      </c>
    </row>
    <row r="2" spans="1:11" x14ac:dyDescent="0.35">
      <c r="A2" t="s">
        <v>79</v>
      </c>
      <c r="B2">
        <v>1</v>
      </c>
      <c r="C2">
        <v>360</v>
      </c>
      <c r="D2">
        <f>C2*B2</f>
        <v>360</v>
      </c>
      <c r="F2" t="s">
        <v>82</v>
      </c>
      <c r="G2">
        <v>125</v>
      </c>
      <c r="H2">
        <v>80</v>
      </c>
      <c r="I2">
        <v>20</v>
      </c>
    </row>
    <row r="3" spans="1:11" x14ac:dyDescent="0.35">
      <c r="A3" t="s">
        <v>80</v>
      </c>
      <c r="B3">
        <v>1</v>
      </c>
      <c r="C3">
        <v>265</v>
      </c>
      <c r="D3">
        <f>C3*B3</f>
        <v>265</v>
      </c>
      <c r="F3" t="s">
        <v>80</v>
      </c>
      <c r="G3">
        <v>65</v>
      </c>
      <c r="H3">
        <v>65</v>
      </c>
      <c r="I3">
        <v>60</v>
      </c>
    </row>
    <row r="4" spans="1:11" x14ac:dyDescent="0.35">
      <c r="A4" t="s">
        <v>81</v>
      </c>
      <c r="B4">
        <v>1</v>
      </c>
      <c r="C4">
        <v>157</v>
      </c>
      <c r="D4">
        <f>C4*B4</f>
        <v>157</v>
      </c>
      <c r="F4" t="s">
        <v>83</v>
      </c>
      <c r="J4">
        <v>17</v>
      </c>
    </row>
    <row r="5" spans="1:11" x14ac:dyDescent="0.35">
      <c r="A5" t="s">
        <v>75</v>
      </c>
      <c r="B5">
        <v>1</v>
      </c>
      <c r="F5" t="s">
        <v>79</v>
      </c>
      <c r="G5">
        <v>98</v>
      </c>
      <c r="H5">
        <v>29</v>
      </c>
      <c r="I5">
        <v>62</v>
      </c>
    </row>
    <row r="6" spans="1:11" x14ac:dyDescent="0.35">
      <c r="A6" t="s">
        <v>91</v>
      </c>
      <c r="B6">
        <v>2</v>
      </c>
      <c r="F6" t="s">
        <v>81</v>
      </c>
      <c r="J6">
        <v>77</v>
      </c>
      <c r="K6" t="s">
        <v>89</v>
      </c>
    </row>
    <row r="7" spans="1:11" x14ac:dyDescent="0.35">
      <c r="A7" t="s">
        <v>82</v>
      </c>
      <c r="B7">
        <v>1</v>
      </c>
    </row>
    <row r="8" spans="1:11" x14ac:dyDescent="0.35">
      <c r="A8" t="s">
        <v>100</v>
      </c>
      <c r="B8">
        <v>25</v>
      </c>
      <c r="C8">
        <v>9.6</v>
      </c>
      <c r="D8">
        <f>B8*C8</f>
        <v>240</v>
      </c>
    </row>
    <row r="10" spans="1:11" x14ac:dyDescent="0.35">
      <c r="C10" t="s">
        <v>78</v>
      </c>
      <c r="D10">
        <f>SUM(D2:D8)</f>
        <v>1022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EF1B-EBC4-4830-A0A6-069DED2B52FA}">
  <dimension ref="A1:C8"/>
  <sheetViews>
    <sheetView workbookViewId="0">
      <selection activeCell="C10" sqref="C10"/>
    </sheetView>
  </sheetViews>
  <sheetFormatPr defaultRowHeight="14.5" x14ac:dyDescent="0.35"/>
  <cols>
    <col min="1" max="1" width="23.81640625" bestFit="1" customWidth="1"/>
  </cols>
  <sheetData>
    <row r="1" spans="1:3" x14ac:dyDescent="0.35">
      <c r="A1" t="s">
        <v>98</v>
      </c>
      <c r="B1">
        <v>1.7000000000000001E-2</v>
      </c>
      <c r="C1" t="s">
        <v>3</v>
      </c>
    </row>
    <row r="2" spans="1:3" x14ac:dyDescent="0.35">
      <c r="A2" t="s">
        <v>97</v>
      </c>
      <c r="B2">
        <v>0.125</v>
      </c>
      <c r="C2" t="s">
        <v>3</v>
      </c>
    </row>
    <row r="3" spans="1:3" x14ac:dyDescent="0.35">
      <c r="A3" t="s">
        <v>93</v>
      </c>
      <c r="B3">
        <v>0.2</v>
      </c>
      <c r="C3" t="s">
        <v>20</v>
      </c>
    </row>
    <row r="4" spans="1:3" x14ac:dyDescent="0.35">
      <c r="A4" t="s">
        <v>94</v>
      </c>
      <c r="B4">
        <v>2</v>
      </c>
      <c r="C4" t="s">
        <v>4</v>
      </c>
    </row>
    <row r="7" spans="1:3" x14ac:dyDescent="0.35">
      <c r="A7" t="s">
        <v>95</v>
      </c>
      <c r="B7">
        <f>(B3+0.5*(B4*B2))/B1</f>
        <v>19.117647058823529</v>
      </c>
      <c r="C7" t="s">
        <v>4</v>
      </c>
    </row>
    <row r="8" spans="1:3" x14ac:dyDescent="0.35">
      <c r="A8" t="s">
        <v>96</v>
      </c>
      <c r="B8">
        <f>(B3-0.5*(B4*B2))/B1</f>
        <v>4.4117647058823533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Kinematics</vt:lpstr>
      <vt:lpstr>Motor Torque Calculation</vt:lpstr>
      <vt:lpstr>Motor Wiring</vt:lpstr>
      <vt:lpstr>Hardware List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JasonY</dc:creator>
  <cp:lastModifiedBy>JasonY</cp:lastModifiedBy>
  <dcterms:created xsi:type="dcterms:W3CDTF">2015-06-05T18:17:20Z</dcterms:created>
  <dcterms:modified xsi:type="dcterms:W3CDTF">2026-03-23T08:13:35Z</dcterms:modified>
</cp:coreProperties>
</file>