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Jason\NTU\EE4080 FYP\Haloball_v1\Hardware Documentation\"/>
    </mc:Choice>
  </mc:AlternateContent>
  <xr:revisionPtr revIDLastSave="0" documentId="13_ncr:1_{7291A43D-BB79-40BD-8438-CCB23A24857A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Kinematics" sheetId="1" r:id="rId1"/>
    <sheet name="Motor Wiring" sheetId="2" r:id="rId2"/>
    <sheet name="Component 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4" i="1"/>
  <c r="B10" i="1" s="1"/>
  <c r="B20" i="1" s="1"/>
  <c r="B9" i="1"/>
  <c r="B11" i="1" s="1"/>
  <c r="B14" i="1" l="1"/>
</calcChain>
</file>

<file path=xl/sharedStrings.xml><?xml version="1.0" encoding="utf-8"?>
<sst xmlns="http://schemas.openxmlformats.org/spreadsheetml/2006/main" count="140" uniqueCount="92">
  <si>
    <t>yaw constant (c)</t>
  </si>
  <si>
    <t>Value</t>
  </si>
  <si>
    <r>
      <t>[kgm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</si>
  <si>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[m]</t>
  </si>
  <si>
    <t>[rad/s]</t>
  </si>
  <si>
    <r>
      <t>mass of sphere (m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)</t>
    </r>
  </si>
  <si>
    <t>[kg]</t>
  </si>
  <si>
    <r>
      <t>2/3 m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r</t>
    </r>
    <r>
      <rPr>
        <vertAlign val="superscript"/>
        <sz val="11"/>
        <color theme="1"/>
        <rFont val="Calibri"/>
        <family val="2"/>
        <scheme val="minor"/>
      </rPr>
      <t>2</t>
    </r>
  </si>
  <si>
    <t>wheel separation (w)</t>
  </si>
  <si>
    <t>Only key in highlighted cells</t>
  </si>
  <si>
    <t>√(r² - (0.5w)²)</t>
  </si>
  <si>
    <t>Formula</t>
  </si>
  <si>
    <r>
      <t>I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((ρ/wc) - 1)</t>
    </r>
  </si>
  <si>
    <r>
      <t>ρI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/w(I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+J)</t>
    </r>
  </si>
  <si>
    <t>Remarks</t>
  </si>
  <si>
    <t>rρ/2h</t>
  </si>
  <si>
    <t>distance between center of sphere to center of wheel separation (h)</t>
  </si>
  <si>
    <t>robot linear speed (v)</t>
  </si>
  <si>
    <t>robot angular speed (ψ)</t>
  </si>
  <si>
    <t>wheel -&gt; robot speed calculator</t>
  </si>
  <si>
    <t>[m/s]</t>
  </si>
  <si>
    <t>wheel radius (ρ)</t>
  </si>
  <si>
    <t>sphere radius (r)</t>
  </si>
  <si>
    <t>robot inertia (J)</t>
  </si>
  <si>
    <r>
      <t>sphere inertia (I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)</t>
    </r>
  </si>
  <si>
    <r>
      <t>right wheel angular velocity</t>
    </r>
    <r>
      <rPr>
        <sz val="11"/>
        <color theme="1"/>
        <rFont val="Calibri"/>
        <family val="2"/>
      </rPr>
      <t xml:space="preserve"> (ⱷ</t>
    </r>
    <r>
      <rPr>
        <vertAlign val="subscript"/>
        <sz val="11"/>
        <color theme="1"/>
        <rFont val="Calibri"/>
        <family val="2"/>
      </rPr>
      <t xml:space="preserve">R </t>
    </r>
    <r>
      <rPr>
        <sz val="11"/>
        <color theme="1"/>
        <rFont val="Calibri"/>
        <family val="2"/>
      </rPr>
      <t>_dot)</t>
    </r>
  </si>
  <si>
    <r>
      <t>left wheel angular velocity  (ⱷ</t>
    </r>
    <r>
      <rPr>
        <vertAlign val="subscript"/>
        <sz val="11"/>
        <color theme="1"/>
        <rFont val="Calibri"/>
        <family val="2"/>
        <scheme val="minor"/>
      </rPr>
      <t xml:space="preserve">L </t>
    </r>
    <r>
      <rPr>
        <sz val="11"/>
        <color theme="1"/>
        <rFont val="Calibri"/>
        <family val="2"/>
        <scheme val="minor"/>
      </rPr>
      <t>_dot)</t>
    </r>
  </si>
  <si>
    <t>Units</t>
  </si>
  <si>
    <t>JGB37-520</t>
  </si>
  <si>
    <t>Motor 1 (R)</t>
  </si>
  <si>
    <t>TB6612FNG</t>
  </si>
  <si>
    <t>Left</t>
  </si>
  <si>
    <t>M1+</t>
  </si>
  <si>
    <t>AO1</t>
  </si>
  <si>
    <t>12V</t>
  </si>
  <si>
    <t>VM</t>
  </si>
  <si>
    <t>PWMA</t>
  </si>
  <si>
    <t>GPIO5</t>
  </si>
  <si>
    <t>5V</t>
  </si>
  <si>
    <t>M1-</t>
  </si>
  <si>
    <t>AO2</t>
  </si>
  <si>
    <t>VCC</t>
  </si>
  <si>
    <t>AI2</t>
  </si>
  <si>
    <t>GPIO6</t>
  </si>
  <si>
    <t>GND</t>
  </si>
  <si>
    <t>AI1</t>
  </si>
  <si>
    <t>GPIO7</t>
  </si>
  <si>
    <t>3V3</t>
  </si>
  <si>
    <t>STBY</t>
  </si>
  <si>
    <t>GPIO4</t>
  </si>
  <si>
    <t>BI1</t>
  </si>
  <si>
    <t>GPIO8</t>
  </si>
  <si>
    <t>B1</t>
  </si>
  <si>
    <t>H1A</t>
  </si>
  <si>
    <t>BI2</t>
  </si>
  <si>
    <t>GPIO9</t>
  </si>
  <si>
    <t>GPIO3</t>
  </si>
  <si>
    <t>H2B</t>
  </si>
  <si>
    <t>Right</t>
  </si>
  <si>
    <t>A1</t>
  </si>
  <si>
    <t>H1B</t>
  </si>
  <si>
    <t>M2+</t>
  </si>
  <si>
    <t>BO2</t>
  </si>
  <si>
    <t>PWMB</t>
  </si>
  <si>
    <t>GPIO10</t>
  </si>
  <si>
    <t>GPIO2</t>
  </si>
  <si>
    <t>H2A</t>
  </si>
  <si>
    <t>M2-</t>
  </si>
  <si>
    <t>BO1</t>
  </si>
  <si>
    <t>GPIO20</t>
  </si>
  <si>
    <t>GPIO1</t>
  </si>
  <si>
    <t>Motor 2 (L)</t>
  </si>
  <si>
    <t>GPIO21</t>
  </si>
  <si>
    <t>GPIO0</t>
  </si>
  <si>
    <t>B2</t>
  </si>
  <si>
    <t>A2</t>
  </si>
  <si>
    <t>Port Orientation</t>
  </si>
  <si>
    <t>ESP32C3</t>
  </si>
  <si>
    <t>0.25m outer diameter shell</t>
  </si>
  <si>
    <t>distance between center of sphere to LiDAR</t>
  </si>
  <si>
    <t>distance between base of LiDAR to center of wheel separation</t>
  </si>
  <si>
    <t>For base_link tf</t>
  </si>
  <si>
    <t>Measured (refer 3d model)</t>
  </si>
  <si>
    <t>Measured with data collected</t>
  </si>
  <si>
    <t>Components</t>
  </si>
  <si>
    <t>Battery</t>
  </si>
  <si>
    <t>MID360 LiDAR</t>
  </si>
  <si>
    <t>JGB37-520 Motor (12V)</t>
  </si>
  <si>
    <t>TB6612FNG Motor Driver</t>
  </si>
  <si>
    <t>Sphere (0.25m diameter)</t>
  </si>
  <si>
    <t>RK3588 SBC</t>
  </si>
  <si>
    <t>Lead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</si>
</sst>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D10" sqref="D10"/>
    </sheetView>
  </sheetViews>
  <sheetFormatPr defaultRowHeight="14.5" x14ac:dyDescent="0.35"/>
  <cols>
    <col min="1" max="1" width="31.26953125" bestFit="1" customWidth="1"/>
    <col min="2" max="2" width="11.81640625" bestFit="1" customWidth="1"/>
    <col min="5" max="5" width="11.90625" bestFit="1" customWidth="1"/>
    <col min="6" max="6" width="25.7265625" bestFit="1" customWidth="1"/>
  </cols>
  <sheetData>
    <row r="1" spans="1:6" x14ac:dyDescent="0.35">
      <c r="A1" s="3" t="s">
        <v>9</v>
      </c>
    </row>
    <row r="2" spans="1:6" x14ac:dyDescent="0.35">
      <c r="B2" s="4" t="s">
        <v>1</v>
      </c>
      <c r="C2" s="4" t="s">
        <v>27</v>
      </c>
      <c r="D2" s="4"/>
      <c r="E2" s="4" t="s">
        <v>11</v>
      </c>
      <c r="F2" s="4" t="s">
        <v>14</v>
      </c>
    </row>
    <row r="3" spans="1:6" ht="16.5" x14ac:dyDescent="0.45">
      <c r="A3" t="s">
        <v>5</v>
      </c>
      <c r="B3" s="2">
        <v>0.434</v>
      </c>
      <c r="C3" t="s">
        <v>6</v>
      </c>
    </row>
    <row r="4" spans="1:6" ht="17.5" x14ac:dyDescent="0.45">
      <c r="A4" t="s">
        <v>24</v>
      </c>
      <c r="B4">
        <f>2/3*B3*POWER(B6,2)</f>
        <v>4.3418083333333331E-3</v>
      </c>
      <c r="C4" t="s">
        <v>2</v>
      </c>
      <c r="E4" t="s">
        <v>7</v>
      </c>
    </row>
    <row r="5" spans="1:6" ht="17.5" x14ac:dyDescent="0.45">
      <c r="A5" t="s">
        <v>23</v>
      </c>
      <c r="B5" s="2">
        <v>3.8358000000000001E-4</v>
      </c>
      <c r="C5" t="s">
        <v>2</v>
      </c>
      <c r="E5" t="s">
        <v>12</v>
      </c>
      <c r="F5" t="s">
        <v>83</v>
      </c>
    </row>
    <row r="6" spans="1:6" x14ac:dyDescent="0.35">
      <c r="A6" t="s">
        <v>22</v>
      </c>
      <c r="B6" s="2">
        <v>0.1225</v>
      </c>
      <c r="C6" t="s">
        <v>3</v>
      </c>
      <c r="F6" t="s">
        <v>78</v>
      </c>
    </row>
    <row r="7" spans="1:6" x14ac:dyDescent="0.35">
      <c r="A7" t="s">
        <v>21</v>
      </c>
      <c r="B7" s="2">
        <v>3.4000000000000002E-2</v>
      </c>
      <c r="C7" t="s">
        <v>3</v>
      </c>
    </row>
    <row r="8" spans="1:6" x14ac:dyDescent="0.35">
      <c r="A8" t="s">
        <v>8</v>
      </c>
      <c r="B8" s="2">
        <v>0.19400000000000001</v>
      </c>
      <c r="C8" t="s">
        <v>3</v>
      </c>
    </row>
    <row r="9" spans="1:6" ht="29" x14ac:dyDescent="0.35">
      <c r="A9" s="1" t="s">
        <v>16</v>
      </c>
      <c r="B9">
        <f>SQRT(POWER(B6,2)-POWER(0.5*B8,2))</f>
        <v>7.4814771268780861E-2</v>
      </c>
      <c r="C9" t="s">
        <v>3</v>
      </c>
      <c r="E9" t="s">
        <v>10</v>
      </c>
    </row>
    <row r="10" spans="1:6" ht="16.5" x14ac:dyDescent="0.45">
      <c r="A10" t="s">
        <v>0</v>
      </c>
      <c r="B10">
        <f>(B7*B4)/(B8*(B4+B5))</f>
        <v>0.16103131159230788</v>
      </c>
      <c r="E10" t="s">
        <v>13</v>
      </c>
    </row>
    <row r="11" spans="1:6" x14ac:dyDescent="0.35">
      <c r="A11" t="s">
        <v>15</v>
      </c>
      <c r="B11">
        <f>(B6*B7)/(2*B9)</f>
        <v>2.7835412241232069E-2</v>
      </c>
    </row>
    <row r="13" spans="1:6" ht="29" x14ac:dyDescent="0.35">
      <c r="A13" s="1" t="s">
        <v>80</v>
      </c>
      <c r="B13" s="2">
        <v>9.6000000000000002E-2</v>
      </c>
      <c r="C13" t="s">
        <v>3</v>
      </c>
      <c r="F13" t="s">
        <v>82</v>
      </c>
    </row>
    <row r="14" spans="1:6" ht="29" x14ac:dyDescent="0.35">
      <c r="A14" s="1" t="s">
        <v>79</v>
      </c>
      <c r="B14">
        <f>B13-B9</f>
        <v>2.1185228731219141E-2</v>
      </c>
      <c r="C14" t="s">
        <v>3</v>
      </c>
      <c r="F14" t="s">
        <v>81</v>
      </c>
    </row>
    <row r="16" spans="1:6" x14ac:dyDescent="0.35">
      <c r="A16" s="3" t="s">
        <v>19</v>
      </c>
    </row>
    <row r="17" spans="1:3" ht="16.5" x14ac:dyDescent="0.45">
      <c r="A17" t="s">
        <v>25</v>
      </c>
      <c r="B17">
        <v>15</v>
      </c>
      <c r="C17" t="s">
        <v>4</v>
      </c>
    </row>
    <row r="18" spans="1:3" ht="16.5" x14ac:dyDescent="0.45">
      <c r="A18" t="s">
        <v>26</v>
      </c>
      <c r="B18">
        <v>15</v>
      </c>
      <c r="C18" t="s">
        <v>4</v>
      </c>
    </row>
    <row r="19" spans="1:3" x14ac:dyDescent="0.35">
      <c r="A19" t="s">
        <v>17</v>
      </c>
      <c r="B19">
        <f>(B17+B18)*0.5*B7</f>
        <v>0.51</v>
      </c>
      <c r="C19" t="s">
        <v>20</v>
      </c>
    </row>
    <row r="20" spans="1:3" x14ac:dyDescent="0.35">
      <c r="A20" t="s">
        <v>18</v>
      </c>
      <c r="B20">
        <f>B10*(B17-B18)</f>
        <v>0</v>
      </c>
      <c r="C20" t="s">
        <v>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EA29-424C-400F-A0FE-2A740FD44B87}">
  <dimension ref="A2:M17"/>
  <sheetViews>
    <sheetView workbookViewId="0">
      <selection activeCell="B2" sqref="B2"/>
    </sheetView>
  </sheetViews>
  <sheetFormatPr defaultRowHeight="14.5" x14ac:dyDescent="0.35"/>
  <cols>
    <col min="1" max="1" width="14.36328125" bestFit="1" customWidth="1"/>
    <col min="2" max="2" width="10.36328125" bestFit="1" customWidth="1"/>
    <col min="3" max="3" width="4.36328125" bestFit="1" customWidth="1"/>
    <col min="5" max="5" width="4.54296875" bestFit="1" customWidth="1"/>
    <col min="6" max="6" width="4.6328125" bestFit="1" customWidth="1"/>
    <col min="7" max="7" width="6.54296875" bestFit="1" customWidth="1"/>
    <col min="8" max="8" width="7" bestFit="1" customWidth="1"/>
    <col min="10" max="10" width="6.54296875" bestFit="1" customWidth="1"/>
    <col min="11" max="11" width="7" bestFit="1" customWidth="1"/>
    <col min="12" max="12" width="6" bestFit="1" customWidth="1"/>
    <col min="13" max="13" width="4.81640625" bestFit="1" customWidth="1"/>
  </cols>
  <sheetData>
    <row r="2" spans="1:13" x14ac:dyDescent="0.35">
      <c r="A2" t="s">
        <v>76</v>
      </c>
      <c r="B2" s="5" t="s">
        <v>28</v>
      </c>
    </row>
    <row r="3" spans="1:13" x14ac:dyDescent="0.35">
      <c r="B3" s="5" t="s">
        <v>29</v>
      </c>
      <c r="F3" s="7" t="s">
        <v>30</v>
      </c>
      <c r="G3" s="7"/>
      <c r="K3" s="7" t="s">
        <v>77</v>
      </c>
      <c r="L3" s="7"/>
    </row>
    <row r="4" spans="1:13" x14ac:dyDescent="0.35">
      <c r="A4" t="s">
        <v>31</v>
      </c>
      <c r="B4" s="6" t="s">
        <v>32</v>
      </c>
      <c r="C4" t="s">
        <v>68</v>
      </c>
      <c r="E4" t="s">
        <v>34</v>
      </c>
      <c r="F4" s="6" t="s">
        <v>35</v>
      </c>
      <c r="G4" s="6" t="s">
        <v>36</v>
      </c>
      <c r="H4" t="s">
        <v>37</v>
      </c>
      <c r="J4" t="s">
        <v>36</v>
      </c>
      <c r="K4" s="6" t="s">
        <v>37</v>
      </c>
      <c r="L4" s="6" t="s">
        <v>38</v>
      </c>
    </row>
    <row r="5" spans="1:13" x14ac:dyDescent="0.35">
      <c r="B5" s="6" t="s">
        <v>39</v>
      </c>
      <c r="C5" t="s">
        <v>62</v>
      </c>
      <c r="E5" t="s">
        <v>38</v>
      </c>
      <c r="F5" s="6" t="s">
        <v>41</v>
      </c>
      <c r="G5" s="6" t="s">
        <v>42</v>
      </c>
      <c r="H5" t="s">
        <v>43</v>
      </c>
      <c r="J5" t="s">
        <v>42</v>
      </c>
      <c r="K5" s="6" t="s">
        <v>43</v>
      </c>
      <c r="L5" s="6" t="s">
        <v>44</v>
      </c>
    </row>
    <row r="6" spans="1:13" x14ac:dyDescent="0.35">
      <c r="B6" s="6" t="s">
        <v>44</v>
      </c>
      <c r="F6" s="6" t="s">
        <v>44</v>
      </c>
      <c r="G6" s="6" t="s">
        <v>45</v>
      </c>
      <c r="H6" t="s">
        <v>46</v>
      </c>
      <c r="J6" t="s">
        <v>45</v>
      </c>
      <c r="K6" s="6" t="s">
        <v>46</v>
      </c>
      <c r="L6" s="6" t="s">
        <v>47</v>
      </c>
    </row>
    <row r="7" spans="1:13" x14ac:dyDescent="0.35">
      <c r="B7" s="6" t="s">
        <v>41</v>
      </c>
      <c r="C7" t="s">
        <v>47</v>
      </c>
      <c r="E7" t="s">
        <v>61</v>
      </c>
      <c r="F7" s="6" t="s">
        <v>33</v>
      </c>
      <c r="G7" s="6" t="s">
        <v>48</v>
      </c>
      <c r="H7" t="s">
        <v>49</v>
      </c>
      <c r="K7" s="6" t="s">
        <v>51</v>
      </c>
      <c r="L7" s="6" t="s">
        <v>49</v>
      </c>
      <c r="M7" t="s">
        <v>48</v>
      </c>
    </row>
    <row r="8" spans="1:13" x14ac:dyDescent="0.35">
      <c r="B8" s="6" t="s">
        <v>52</v>
      </c>
      <c r="C8" t="s">
        <v>53</v>
      </c>
      <c r="E8" t="s">
        <v>67</v>
      </c>
      <c r="F8" s="6" t="s">
        <v>40</v>
      </c>
      <c r="G8" s="6" t="s">
        <v>50</v>
      </c>
      <c r="H8" t="s">
        <v>55</v>
      </c>
      <c r="J8" t="s">
        <v>50</v>
      </c>
      <c r="K8" s="6" t="s">
        <v>55</v>
      </c>
      <c r="L8" s="6" t="s">
        <v>56</v>
      </c>
      <c r="M8" t="s">
        <v>66</v>
      </c>
    </row>
    <row r="9" spans="1:13" x14ac:dyDescent="0.35">
      <c r="A9" t="s">
        <v>58</v>
      </c>
      <c r="B9" s="6" t="s">
        <v>59</v>
      </c>
      <c r="C9" t="s">
        <v>60</v>
      </c>
      <c r="E9" t="s">
        <v>39</v>
      </c>
      <c r="F9" s="6" t="s">
        <v>62</v>
      </c>
      <c r="G9" s="6" t="s">
        <v>54</v>
      </c>
      <c r="H9" t="s">
        <v>64</v>
      </c>
      <c r="J9" t="s">
        <v>54</v>
      </c>
      <c r="K9" s="6" t="s">
        <v>64</v>
      </c>
      <c r="L9" s="6" t="s">
        <v>65</v>
      </c>
      <c r="M9" t="s">
        <v>57</v>
      </c>
    </row>
    <row r="10" spans="1:13" x14ac:dyDescent="0.35">
      <c r="E10" t="s">
        <v>32</v>
      </c>
      <c r="F10" s="6" t="s">
        <v>68</v>
      </c>
      <c r="G10" s="6" t="s">
        <v>63</v>
      </c>
      <c r="H10" t="s">
        <v>69</v>
      </c>
      <c r="J10" t="s">
        <v>63</v>
      </c>
      <c r="K10" s="6" t="s">
        <v>69</v>
      </c>
      <c r="L10" s="6" t="s">
        <v>70</v>
      </c>
      <c r="M10" t="s">
        <v>53</v>
      </c>
    </row>
    <row r="11" spans="1:13" x14ac:dyDescent="0.35">
      <c r="A11" t="s">
        <v>76</v>
      </c>
      <c r="B11" s="5" t="s">
        <v>71</v>
      </c>
      <c r="F11" s="6" t="s">
        <v>44</v>
      </c>
      <c r="G11" s="6" t="s">
        <v>44</v>
      </c>
      <c r="K11" s="6" t="s">
        <v>72</v>
      </c>
      <c r="L11" s="6" t="s">
        <v>73</v>
      </c>
      <c r="M11" t="s">
        <v>60</v>
      </c>
    </row>
    <row r="12" spans="1:13" x14ac:dyDescent="0.35">
      <c r="A12" t="s">
        <v>31</v>
      </c>
      <c r="B12" s="6" t="s">
        <v>61</v>
      </c>
      <c r="C12" t="s">
        <v>33</v>
      </c>
    </row>
    <row r="13" spans="1:13" x14ac:dyDescent="0.35">
      <c r="B13" s="6" t="s">
        <v>67</v>
      </c>
      <c r="C13" t="s">
        <v>40</v>
      </c>
    </row>
    <row r="14" spans="1:13" x14ac:dyDescent="0.35">
      <c r="B14" s="6" t="s">
        <v>44</v>
      </c>
    </row>
    <row r="15" spans="1:13" x14ac:dyDescent="0.35">
      <c r="B15" s="6" t="s">
        <v>41</v>
      </c>
      <c r="C15" t="s">
        <v>47</v>
      </c>
    </row>
    <row r="16" spans="1:13" x14ac:dyDescent="0.35">
      <c r="B16" s="6" t="s">
        <v>74</v>
      </c>
      <c r="C16" t="s">
        <v>66</v>
      </c>
    </row>
    <row r="17" spans="1:3" x14ac:dyDescent="0.35">
      <c r="A17" t="s">
        <v>58</v>
      </c>
      <c r="B17" s="6" t="s">
        <v>75</v>
      </c>
      <c r="C17" t="s">
        <v>57</v>
      </c>
    </row>
  </sheetData>
  <mergeCells count="2">
    <mergeCell ref="F3:G3"/>
    <mergeCell ref="K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16F6-2EA3-4A3E-A9E3-F8F0241EFF17}">
  <dimension ref="A1:A9"/>
  <sheetViews>
    <sheetView workbookViewId="0">
      <selection activeCell="A2" sqref="A2"/>
    </sheetView>
  </sheetViews>
  <sheetFormatPr defaultRowHeight="14.5" x14ac:dyDescent="0.35"/>
  <cols>
    <col min="1" max="1" width="22.54296875" bestFit="1" customWidth="1"/>
  </cols>
  <sheetData>
    <row r="1" spans="1:1" x14ac:dyDescent="0.35">
      <c r="A1" s="4" t="s">
        <v>84</v>
      </c>
    </row>
    <row r="2" spans="1:1" x14ac:dyDescent="0.35">
      <c r="A2" t="s">
        <v>85</v>
      </c>
    </row>
    <row r="3" spans="1:1" x14ac:dyDescent="0.35">
      <c r="A3" t="s">
        <v>86</v>
      </c>
    </row>
    <row r="4" spans="1:1" x14ac:dyDescent="0.35">
      <c r="A4" t="s">
        <v>89</v>
      </c>
    </row>
    <row r="5" spans="1:1" x14ac:dyDescent="0.35">
      <c r="A5" t="s">
        <v>88</v>
      </c>
    </row>
    <row r="6" spans="1:1" x14ac:dyDescent="0.35">
      <c r="A6" t="s">
        <v>77</v>
      </c>
    </row>
    <row r="7" spans="1:1" x14ac:dyDescent="0.35">
      <c r="A7" t="s">
        <v>87</v>
      </c>
    </row>
    <row r="8" spans="1:1" x14ac:dyDescent="0.35">
      <c r="A8" t="s">
        <v>90</v>
      </c>
    </row>
    <row r="9" spans="1:1" x14ac:dyDescent="0.35">
      <c r="A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Kinematics</vt:lpstr>
      <vt:lpstr>Motor Wiring</vt:lpstr>
      <vt:lpstr>Component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JasonY</dc:creator>
  <cp:lastModifiedBy>JasonY</cp:lastModifiedBy>
  <dcterms:created xsi:type="dcterms:W3CDTF">2015-06-05T18:17:20Z</dcterms:created>
  <dcterms:modified xsi:type="dcterms:W3CDTF">2026-02-12T14:41:42Z</dcterms:modified>
</cp:coreProperties>
</file>